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Sambhav's Project\"/>
    </mc:Choice>
  </mc:AlternateContent>
  <xr:revisionPtr revIDLastSave="0" documentId="13_ncr:1_{5D6BB249-700B-4F04-940F-5460B10FBA2A}" xr6:coauthVersionLast="47" xr6:coauthVersionMax="47" xr10:uidLastSave="{00000000-0000-0000-0000-000000000000}"/>
  <bookViews>
    <workbookView xWindow="9510" yWindow="0" windowWidth="9780" windowHeight="10170" xr2:uid="{8AD4BA8F-BE67-4142-B86D-5E56EAAB35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1" i="1" l="1"/>
  <c r="K72" i="1" s="1"/>
  <c r="K73" i="1" s="1"/>
  <c r="K74" i="1" s="1"/>
  <c r="K75" i="1" s="1"/>
  <c r="K76" i="1" s="1"/>
  <c r="K77" i="1" s="1"/>
  <c r="K78" i="1" s="1"/>
  <c r="K79" i="1" s="1"/>
  <c r="J63" i="1"/>
  <c r="J64" i="1" s="1"/>
  <c r="J65" i="1" s="1"/>
  <c r="J66" i="1" s="1"/>
  <c r="J67" i="1" s="1"/>
  <c r="J68" i="1" s="1"/>
  <c r="J69" i="1" s="1"/>
  <c r="G40" i="1"/>
  <c r="F32" i="1"/>
  <c r="E24" i="1"/>
  <c r="I55" i="1"/>
  <c r="I56" i="1" s="1"/>
  <c r="I57" i="1" s="1"/>
  <c r="I58" i="1" s="1"/>
  <c r="I59" i="1" s="1"/>
  <c r="H46" i="1"/>
  <c r="H47" i="1" s="1"/>
  <c r="H48" i="1" s="1"/>
  <c r="H49" i="1" s="1"/>
  <c r="H50" i="1" s="1"/>
  <c r="G38" i="1"/>
  <c r="G39" i="1" s="1"/>
  <c r="F31" i="1"/>
  <c r="E23" i="1"/>
  <c r="G41" i="1" l="1"/>
  <c r="G42" i="1" s="1"/>
  <c r="F33" i="1"/>
  <c r="F34" i="1" s="1"/>
  <c r="E25" i="1"/>
  <c r="E26" i="1" s="1"/>
</calcChain>
</file>

<file path=xl/sharedStrings.xml><?xml version="1.0" encoding="utf-8"?>
<sst xmlns="http://schemas.openxmlformats.org/spreadsheetml/2006/main" count="203" uniqueCount="155">
  <si>
    <t>whisper_model</t>
  </si>
  <si>
    <t>beam_size</t>
  </si>
  <si>
    <t>compute_type</t>
  </si>
  <si>
    <t>Config_A_01</t>
  </si>
  <si>
    <t>Config_A_02</t>
  </si>
  <si>
    <t>Config_A_03</t>
  </si>
  <si>
    <t>Config_A_04</t>
  </si>
  <si>
    <t>tiny</t>
  </si>
  <si>
    <t>base</t>
  </si>
  <si>
    <t>small</t>
  </si>
  <si>
    <t>medium</t>
  </si>
  <si>
    <t>large-v3</t>
  </si>
  <si>
    <t>large-v2</t>
  </si>
  <si>
    <t>float16</t>
  </si>
  <si>
    <t>int8</t>
  </si>
  <si>
    <t>float32</t>
  </si>
  <si>
    <t>Config_A_05</t>
  </si>
  <si>
    <t>Config_A_06</t>
  </si>
  <si>
    <t>Config_A_07</t>
  </si>
  <si>
    <t>Config_A_08</t>
  </si>
  <si>
    <t>Config_A_09</t>
  </si>
  <si>
    <t>Config_A_10</t>
  </si>
  <si>
    <t>Config_A_11</t>
  </si>
  <si>
    <t>Config_A_12</t>
  </si>
  <si>
    <t>Config_A_13</t>
  </si>
  <si>
    <t>Config_A_14</t>
  </si>
  <si>
    <t>Config_A_15</t>
  </si>
  <si>
    <t>Config_A_16</t>
  </si>
  <si>
    <t>Config_A_17</t>
  </si>
  <si>
    <t>vad_onset</t>
  </si>
  <si>
    <t>vad_offset</t>
  </si>
  <si>
    <t>vad_min_duration_off</t>
  </si>
  <si>
    <t>vad_min_duration_on</t>
  </si>
  <si>
    <t>seg_stich_threshold</t>
  </si>
  <si>
    <t>Config_B_01</t>
  </si>
  <si>
    <t>Config_B_02</t>
  </si>
  <si>
    <t>Config_B_03</t>
  </si>
  <si>
    <t>Config_B_04</t>
  </si>
  <si>
    <t>Config_B_05</t>
  </si>
  <si>
    <t>Config_B_06</t>
  </si>
  <si>
    <t>Config_B_07</t>
  </si>
  <si>
    <t>Config_B_08</t>
  </si>
  <si>
    <t>Config_B_09</t>
  </si>
  <si>
    <t>Config_B_10</t>
  </si>
  <si>
    <t>Config_B_11</t>
  </si>
  <si>
    <t>Config_B_12</t>
  </si>
  <si>
    <t>Config_B_13</t>
  </si>
  <si>
    <t>Config_B_14</t>
  </si>
  <si>
    <t>Config_B_15</t>
  </si>
  <si>
    <t>Config_B_16</t>
  </si>
  <si>
    <t>Config_B_17</t>
  </si>
  <si>
    <t>Config_B_18</t>
  </si>
  <si>
    <t>Config_B_19</t>
  </si>
  <si>
    <t>Config_B_20</t>
  </si>
  <si>
    <t>Config_B_21</t>
  </si>
  <si>
    <t>Config_B_22</t>
  </si>
  <si>
    <t>Config_B_23</t>
  </si>
  <si>
    <t>Config_B_24</t>
  </si>
  <si>
    <t>Config_B_25</t>
  </si>
  <si>
    <t>Config_B_26</t>
  </si>
  <si>
    <t>Config_B_27</t>
  </si>
  <si>
    <t>Config_B_28</t>
  </si>
  <si>
    <t>Config_B_29</t>
  </si>
  <si>
    <t>Config_B_30</t>
  </si>
  <si>
    <t>Config_B_31</t>
  </si>
  <si>
    <t>Config_B_32</t>
  </si>
  <si>
    <t>Config_B_33</t>
  </si>
  <si>
    <t>Config_B_34</t>
  </si>
  <si>
    <t>Config_B_35</t>
  </si>
  <si>
    <t>Config_B_36</t>
  </si>
  <si>
    <t>Config_B_37</t>
  </si>
  <si>
    <t>Config_B_38</t>
  </si>
  <si>
    <t>Config_B_39</t>
  </si>
  <si>
    <t>Config_B_40</t>
  </si>
  <si>
    <t>Clustering_threshold</t>
  </si>
  <si>
    <t>clustering_min_cluster_size</t>
  </si>
  <si>
    <t>embedding_exclude_overlap</t>
  </si>
  <si>
    <t>max_num_speakers</t>
  </si>
  <si>
    <t>config_C_01</t>
  </si>
  <si>
    <t>Config_B_41</t>
  </si>
  <si>
    <t>auto</t>
  </si>
  <si>
    <t>config_C_02</t>
  </si>
  <si>
    <t>config_C_03</t>
  </si>
  <si>
    <t>config_C_04</t>
  </si>
  <si>
    <t>config_C_05</t>
  </si>
  <si>
    <t>config_C_06</t>
  </si>
  <si>
    <t>config_C_07</t>
  </si>
  <si>
    <t>config_C_08</t>
  </si>
  <si>
    <t>config_C_09</t>
  </si>
  <si>
    <t>config_C_10</t>
  </si>
  <si>
    <t>config_C_11</t>
  </si>
  <si>
    <t>config_C_12</t>
  </si>
  <si>
    <t>config_C_13</t>
  </si>
  <si>
    <t>config_C_14</t>
  </si>
  <si>
    <t>config_C_15</t>
  </si>
  <si>
    <t>config_C_16</t>
  </si>
  <si>
    <t>config_C_17</t>
  </si>
  <si>
    <t>config_C_18</t>
  </si>
  <si>
    <t>config_C_19</t>
  </si>
  <si>
    <t>config_C_20</t>
  </si>
  <si>
    <t>config_C_21</t>
  </si>
  <si>
    <t>config_C_22</t>
  </si>
  <si>
    <t>config_C_23</t>
  </si>
  <si>
    <t>segmentation_batch_size</t>
  </si>
  <si>
    <t>embedding_batch_size</t>
  </si>
  <si>
    <t>Config_D_01</t>
  </si>
  <si>
    <t>Config_D_02</t>
  </si>
  <si>
    <t>Config_D_03</t>
  </si>
  <si>
    <t>Config_D_04</t>
  </si>
  <si>
    <t>Config_D_05</t>
  </si>
  <si>
    <t>Config_D_06</t>
  </si>
  <si>
    <t>Config_D_07</t>
  </si>
  <si>
    <t>Config_D_08</t>
  </si>
  <si>
    <t>Config_D_09</t>
  </si>
  <si>
    <t>Config_D_10</t>
  </si>
  <si>
    <t>Config_D_11</t>
  </si>
  <si>
    <t>Config_D_12</t>
  </si>
  <si>
    <t>Config_D_13</t>
  </si>
  <si>
    <t>Config_D_14</t>
  </si>
  <si>
    <t>Config_D_15</t>
  </si>
  <si>
    <t>Config_D_16</t>
  </si>
  <si>
    <t>Config_D_17</t>
  </si>
  <si>
    <t>Config_D_18</t>
  </si>
  <si>
    <t>Config_D_19</t>
  </si>
  <si>
    <t>Config_D_20</t>
  </si>
  <si>
    <t>Config_D_21</t>
  </si>
  <si>
    <t>Config_D_22</t>
  </si>
  <si>
    <t>Config_D_23</t>
  </si>
  <si>
    <t>Config_D_24</t>
  </si>
  <si>
    <t>Config_D_25</t>
  </si>
  <si>
    <t>Config_D_26</t>
  </si>
  <si>
    <t>Config_D_27</t>
  </si>
  <si>
    <t>Config_D_28</t>
  </si>
  <si>
    <t>Config_D_29</t>
  </si>
  <si>
    <t>Config_D_30</t>
  </si>
  <si>
    <t>Config_D_31</t>
  </si>
  <si>
    <t>Config_D_32</t>
  </si>
  <si>
    <t>Config_D_33</t>
  </si>
  <si>
    <t>Config_D_34</t>
  </si>
  <si>
    <t>Config_D_35</t>
  </si>
  <si>
    <t>Config_D_36</t>
  </si>
  <si>
    <t>Config_D_37</t>
  </si>
  <si>
    <t>Config_D_38</t>
  </si>
  <si>
    <t>Config_D_39</t>
  </si>
  <si>
    <t>Config_D_40</t>
  </si>
  <si>
    <t>Config_D_41</t>
  </si>
  <si>
    <t>Config_D_42</t>
  </si>
  <si>
    <t>Config_D_43</t>
  </si>
  <si>
    <t>Config_D_44</t>
  </si>
  <si>
    <t>Config_D_45</t>
  </si>
  <si>
    <t>Config_D_46</t>
  </si>
  <si>
    <t>Config_D_47</t>
  </si>
  <si>
    <t>Config_D_48</t>
  </si>
  <si>
    <t>config_id</t>
  </si>
  <si>
    <t>Config_default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</si>
</sst>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  <font>
      <b/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006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</dxfs>
  <tableStyles count="1" defaultTableStyle="TableStyleMedium2" defaultPivotStyle="PivotStyleLight16">
    <tableStyle name="PivotTable Style 1" table="0" count="1" xr9:uid="{B65932D0-17FA-45DC-855E-D38CA968D02A}">
      <tableStyleElement type="wholeTable" dxfId="0"/>
    </tableStyle>
  </tableStyles>
  <colors>
    <mruColors>
      <color rgb="FFFFFF99"/>
      <color rgb="FFFF0066"/>
      <color rgb="FFFF6699"/>
      <color rgb="FFCCFFFF"/>
      <color rgb="FF66FFFF"/>
      <color rgb="FFFFFFCC"/>
      <color rgb="FF99FF99"/>
      <color rgb="FFFF9966"/>
      <color rgb="FFFFCCFF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BACC-D518-4A96-B54A-655694DB9BD2}">
  <dimension ref="A1:O149"/>
  <sheetViews>
    <sheetView tabSelected="1" topLeftCell="A47" zoomScale="54" zoomScaleNormal="130" workbookViewId="0">
      <selection activeCell="A2" sqref="A2:A131"/>
    </sheetView>
  </sheetViews>
  <sheetFormatPr defaultRowHeight="14.5" x14ac:dyDescent="0.35"/>
  <cols>
    <col min="1" max="1" width="27.08984375" customWidth="1"/>
    <col min="2" max="2" width="18.81640625" customWidth="1"/>
    <col min="3" max="3" width="13.08984375" customWidth="1"/>
    <col min="4" max="4" width="18.08984375" customWidth="1"/>
    <col min="5" max="5" width="16.1796875" customWidth="1"/>
    <col min="6" max="6" width="17.36328125" customWidth="1"/>
    <col min="7" max="7" width="28" customWidth="1"/>
    <col min="8" max="8" width="27" customWidth="1"/>
    <col min="9" max="9" width="26.36328125" customWidth="1"/>
    <col min="10" max="10" width="28.453125" customWidth="1"/>
    <col min="11" max="11" width="35.36328125" customWidth="1"/>
    <col min="12" max="12" width="37.54296875" customWidth="1"/>
    <col min="13" max="13" width="27" customWidth="1"/>
    <col min="14" max="14" width="30.6328125" customWidth="1"/>
    <col min="15" max="15" width="31.90625" customWidth="1"/>
  </cols>
  <sheetData>
    <row r="1" spans="1:15" ht="21" x14ac:dyDescent="0.5">
      <c r="A1" s="7" t="s">
        <v>153</v>
      </c>
      <c r="B1" s="3" t="s">
        <v>0</v>
      </c>
      <c r="C1" s="3" t="s">
        <v>1</v>
      </c>
      <c r="D1" s="3" t="s">
        <v>2</v>
      </c>
      <c r="E1" s="5" t="s">
        <v>29</v>
      </c>
      <c r="F1" s="5" t="s">
        <v>30</v>
      </c>
      <c r="G1" s="5" t="s">
        <v>32</v>
      </c>
      <c r="H1" s="5" t="s">
        <v>31</v>
      </c>
      <c r="I1" s="5" t="s">
        <v>33</v>
      </c>
      <c r="J1" s="8" t="s">
        <v>74</v>
      </c>
      <c r="K1" s="8" t="s">
        <v>75</v>
      </c>
      <c r="L1" s="8" t="s">
        <v>76</v>
      </c>
      <c r="M1" s="8" t="s">
        <v>77</v>
      </c>
      <c r="N1" s="4" t="s">
        <v>104</v>
      </c>
      <c r="O1" s="4" t="s">
        <v>103</v>
      </c>
    </row>
    <row r="2" spans="1:15" ht="20.5" x14ac:dyDescent="0.35">
      <c r="A2" s="9" t="s">
        <v>154</v>
      </c>
      <c r="B2" s="9" t="s">
        <v>12</v>
      </c>
      <c r="C2" s="9">
        <v>5</v>
      </c>
      <c r="D2" s="9" t="s">
        <v>13</v>
      </c>
      <c r="E2" s="9">
        <v>0.5</v>
      </c>
      <c r="F2" s="9">
        <v>0.36299999999999999</v>
      </c>
      <c r="G2" s="9">
        <v>0</v>
      </c>
      <c r="H2" s="9">
        <v>0</v>
      </c>
      <c r="I2" s="9">
        <v>0.1</v>
      </c>
      <c r="J2" s="9">
        <v>0.71499999999999997</v>
      </c>
      <c r="K2" s="9">
        <v>15</v>
      </c>
      <c r="L2" s="9" t="b">
        <v>1</v>
      </c>
      <c r="M2" s="9">
        <v>2</v>
      </c>
      <c r="N2" s="9">
        <v>32</v>
      </c>
      <c r="O2" s="9">
        <v>32</v>
      </c>
    </row>
    <row r="3" spans="1:15" ht="20.5" x14ac:dyDescent="0.35">
      <c r="A3" s="3" t="s">
        <v>3</v>
      </c>
      <c r="B3" s="15" t="s">
        <v>7</v>
      </c>
      <c r="C3" s="6"/>
      <c r="D3" s="6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20.5" x14ac:dyDescent="0.35">
      <c r="A4" s="3" t="s">
        <v>4</v>
      </c>
      <c r="B4" s="3" t="s">
        <v>8</v>
      </c>
      <c r="C4" s="6"/>
      <c r="D4" s="6"/>
    </row>
    <row r="5" spans="1:15" ht="20.5" x14ac:dyDescent="0.35">
      <c r="A5" s="3" t="s">
        <v>5</v>
      </c>
      <c r="B5" s="3" t="s">
        <v>9</v>
      </c>
      <c r="C5" s="6"/>
      <c r="D5" s="6"/>
    </row>
    <row r="6" spans="1:15" ht="20.5" x14ac:dyDescent="0.35">
      <c r="A6" s="3" t="s">
        <v>6</v>
      </c>
      <c r="B6" s="3" t="s">
        <v>10</v>
      </c>
      <c r="C6" s="6"/>
      <c r="D6" s="6"/>
    </row>
    <row r="7" spans="1:15" ht="20.5" x14ac:dyDescent="0.35">
      <c r="A7" s="3" t="s">
        <v>16</v>
      </c>
      <c r="B7" s="3" t="s">
        <v>11</v>
      </c>
      <c r="C7" s="6"/>
      <c r="D7" s="6"/>
    </row>
    <row r="8" spans="1:15" ht="20.5" x14ac:dyDescent="0.35">
      <c r="A8" s="3" t="s">
        <v>17</v>
      </c>
      <c r="B8" s="6"/>
      <c r="C8" s="3">
        <v>0</v>
      </c>
      <c r="D8" s="6"/>
    </row>
    <row r="9" spans="1:15" ht="20.5" x14ac:dyDescent="0.35">
      <c r="A9" s="3" t="s">
        <v>18</v>
      </c>
      <c r="B9" s="6"/>
      <c r="C9" s="3">
        <v>1</v>
      </c>
      <c r="D9" s="6"/>
    </row>
    <row r="10" spans="1:15" ht="20.5" x14ac:dyDescent="0.35">
      <c r="A10" s="3" t="s">
        <v>19</v>
      </c>
      <c r="B10" s="6"/>
      <c r="C10" s="3">
        <v>2</v>
      </c>
      <c r="D10" s="6"/>
    </row>
    <row r="11" spans="1:15" ht="20.5" x14ac:dyDescent="0.35">
      <c r="A11" s="3" t="s">
        <v>20</v>
      </c>
      <c r="B11" s="6"/>
      <c r="C11" s="3">
        <v>3</v>
      </c>
      <c r="D11" s="6"/>
    </row>
    <row r="12" spans="1:15" ht="20.5" x14ac:dyDescent="0.35">
      <c r="A12" s="3" t="s">
        <v>21</v>
      </c>
      <c r="B12" s="6"/>
      <c r="C12" s="3">
        <v>4</v>
      </c>
      <c r="D12" s="6"/>
    </row>
    <row r="13" spans="1:15" ht="20.5" x14ac:dyDescent="0.35">
      <c r="A13" s="3" t="s">
        <v>22</v>
      </c>
      <c r="B13" s="6"/>
      <c r="C13" s="3">
        <v>6</v>
      </c>
      <c r="D13" s="6"/>
    </row>
    <row r="14" spans="1:15" ht="20.5" x14ac:dyDescent="0.35">
      <c r="A14" s="3" t="s">
        <v>23</v>
      </c>
      <c r="B14" s="6"/>
      <c r="C14" s="3">
        <v>7</v>
      </c>
      <c r="D14" s="6"/>
    </row>
    <row r="15" spans="1:15" ht="20.5" x14ac:dyDescent="0.35">
      <c r="A15" s="3" t="s">
        <v>24</v>
      </c>
      <c r="B15" s="6"/>
      <c r="C15" s="3">
        <v>8</v>
      </c>
      <c r="D15" s="6"/>
    </row>
    <row r="16" spans="1:15" ht="20.5" x14ac:dyDescent="0.35">
      <c r="A16" s="3" t="s">
        <v>25</v>
      </c>
      <c r="B16" s="6"/>
      <c r="C16" s="3">
        <v>9</v>
      </c>
      <c r="D16" s="6"/>
    </row>
    <row r="17" spans="1:9" ht="20.5" x14ac:dyDescent="0.35">
      <c r="A17" s="3" t="s">
        <v>26</v>
      </c>
      <c r="B17" s="6"/>
      <c r="C17" s="3">
        <v>10</v>
      </c>
      <c r="D17" s="6"/>
    </row>
    <row r="18" spans="1:9" ht="20.5" x14ac:dyDescent="0.35">
      <c r="A18" s="3" t="s">
        <v>27</v>
      </c>
      <c r="B18" s="6"/>
      <c r="C18" s="6"/>
      <c r="D18" s="3" t="s">
        <v>14</v>
      </c>
    </row>
    <row r="19" spans="1:9" ht="20.5" x14ac:dyDescent="0.35">
      <c r="A19" s="3" t="s">
        <v>28</v>
      </c>
      <c r="B19" s="6"/>
      <c r="C19" s="6"/>
      <c r="D19" s="3" t="s">
        <v>15</v>
      </c>
    </row>
    <row r="20" spans="1:9" ht="20.5" x14ac:dyDescent="0.35">
      <c r="A20" s="5" t="s">
        <v>34</v>
      </c>
      <c r="B20" s="11"/>
      <c r="C20" s="11"/>
      <c r="D20" s="11"/>
      <c r="E20" s="12">
        <v>0</v>
      </c>
      <c r="F20" s="13"/>
      <c r="G20" s="13"/>
      <c r="H20" s="13"/>
      <c r="I20" s="13"/>
    </row>
    <row r="21" spans="1:9" ht="20.5" x14ac:dyDescent="0.35">
      <c r="A21" s="5" t="s">
        <v>35</v>
      </c>
      <c r="E21" s="5">
        <v>0.125</v>
      </c>
      <c r="F21" s="2"/>
      <c r="G21" s="2"/>
      <c r="H21" s="2"/>
      <c r="I21" s="2"/>
    </row>
    <row r="22" spans="1:9" ht="20.5" x14ac:dyDescent="0.35">
      <c r="A22" s="5" t="s">
        <v>36</v>
      </c>
      <c r="E22" s="5">
        <v>0.25</v>
      </c>
      <c r="F22" s="2"/>
      <c r="G22" s="2"/>
      <c r="H22" s="2"/>
      <c r="I22" s="2"/>
    </row>
    <row r="23" spans="1:9" ht="20.5" x14ac:dyDescent="0.35">
      <c r="A23" s="5" t="s">
        <v>37</v>
      </c>
      <c r="E23" s="5">
        <f>0.25+0.125</f>
        <v>0.375</v>
      </c>
      <c r="F23" s="2"/>
      <c r="G23" s="2"/>
      <c r="H23" s="2"/>
      <c r="I23" s="2"/>
    </row>
    <row r="24" spans="1:9" ht="20.5" x14ac:dyDescent="0.35">
      <c r="A24" s="5" t="s">
        <v>38</v>
      </c>
      <c r="E24" s="5">
        <f>0.5+0.125</f>
        <v>0.625</v>
      </c>
      <c r="F24" s="2"/>
      <c r="G24" s="2"/>
      <c r="H24" s="2"/>
      <c r="I24" s="2"/>
    </row>
    <row r="25" spans="1:9" ht="20.5" x14ac:dyDescent="0.35">
      <c r="A25" s="5" t="s">
        <v>39</v>
      </c>
      <c r="E25" s="5">
        <f>E24+0.125</f>
        <v>0.75</v>
      </c>
      <c r="F25" s="2"/>
      <c r="G25" s="2"/>
      <c r="H25" s="2"/>
      <c r="I25" s="2"/>
    </row>
    <row r="26" spans="1:9" ht="20.5" x14ac:dyDescent="0.35">
      <c r="A26" s="5" t="s">
        <v>40</v>
      </c>
      <c r="E26" s="5">
        <f>E25+0.125</f>
        <v>0.875</v>
      </c>
      <c r="F26" s="2"/>
      <c r="G26" s="2"/>
      <c r="H26" s="2"/>
      <c r="I26" s="2"/>
    </row>
    <row r="27" spans="1:9" ht="20.5" x14ac:dyDescent="0.35">
      <c r="A27" s="5" t="s">
        <v>41</v>
      </c>
      <c r="E27" s="5">
        <v>1</v>
      </c>
      <c r="F27" s="2"/>
      <c r="G27" s="2"/>
      <c r="H27" s="2"/>
      <c r="I27" s="2"/>
    </row>
    <row r="28" spans="1:9" ht="20.5" x14ac:dyDescent="0.35">
      <c r="A28" s="5" t="s">
        <v>42</v>
      </c>
      <c r="E28" s="2"/>
      <c r="F28" s="5">
        <v>0</v>
      </c>
      <c r="G28" s="2"/>
      <c r="H28" s="2"/>
      <c r="I28" s="2"/>
    </row>
    <row r="29" spans="1:9" ht="20.5" x14ac:dyDescent="0.35">
      <c r="A29" s="5" t="s">
        <v>43</v>
      </c>
      <c r="E29" s="2"/>
      <c r="F29" s="5">
        <v>0.125</v>
      </c>
      <c r="G29" s="2"/>
      <c r="H29" s="2"/>
      <c r="I29" s="2"/>
    </row>
    <row r="30" spans="1:9" ht="20.5" x14ac:dyDescent="0.35">
      <c r="A30" s="5" t="s">
        <v>44</v>
      </c>
      <c r="E30" s="2"/>
      <c r="F30" s="5">
        <v>0.25</v>
      </c>
      <c r="G30" s="2"/>
      <c r="H30" s="2"/>
      <c r="I30" s="2"/>
    </row>
    <row r="31" spans="1:9" ht="20.5" x14ac:dyDescent="0.35">
      <c r="A31" s="5" t="s">
        <v>45</v>
      </c>
      <c r="E31" s="2"/>
      <c r="F31" s="5">
        <f>0.25+0.125</f>
        <v>0.375</v>
      </c>
      <c r="G31" s="2"/>
      <c r="H31" s="2"/>
      <c r="I31" s="2"/>
    </row>
    <row r="32" spans="1:9" ht="20.5" x14ac:dyDescent="0.35">
      <c r="A32" s="5" t="s">
        <v>46</v>
      </c>
      <c r="E32" s="2"/>
      <c r="F32" s="5">
        <f>0.5+0.125</f>
        <v>0.625</v>
      </c>
      <c r="G32" s="2"/>
      <c r="H32" s="2"/>
      <c r="I32" s="2"/>
    </row>
    <row r="33" spans="1:9" ht="20.5" x14ac:dyDescent="0.35">
      <c r="A33" s="5" t="s">
        <v>47</v>
      </c>
      <c r="E33" s="2"/>
      <c r="F33" s="5">
        <f>F32+0.125</f>
        <v>0.75</v>
      </c>
      <c r="G33" s="2"/>
      <c r="H33" s="2"/>
      <c r="I33" s="2"/>
    </row>
    <row r="34" spans="1:9" ht="20.5" x14ac:dyDescent="0.35">
      <c r="A34" s="5" t="s">
        <v>48</v>
      </c>
      <c r="E34" s="2"/>
      <c r="F34" s="5">
        <f>F33+0.125</f>
        <v>0.875</v>
      </c>
      <c r="G34" s="2"/>
      <c r="H34" s="2"/>
      <c r="I34" s="2"/>
    </row>
    <row r="35" spans="1:9" ht="20.5" x14ac:dyDescent="0.35">
      <c r="A35" s="5" t="s">
        <v>49</v>
      </c>
      <c r="E35" s="2"/>
      <c r="F35" s="5">
        <v>1</v>
      </c>
      <c r="G35" s="2"/>
      <c r="H35" s="2"/>
      <c r="I35" s="2"/>
    </row>
    <row r="36" spans="1:9" ht="20.5" x14ac:dyDescent="0.35">
      <c r="A36" s="5" t="s">
        <v>50</v>
      </c>
      <c r="E36" s="2"/>
      <c r="F36" s="2"/>
      <c r="G36" s="5">
        <v>0.125</v>
      </c>
      <c r="H36" s="2"/>
      <c r="I36" s="2"/>
    </row>
    <row r="37" spans="1:9" ht="20.5" x14ac:dyDescent="0.35">
      <c r="A37" s="5" t="s">
        <v>51</v>
      </c>
      <c r="E37" s="2"/>
      <c r="F37" s="2"/>
      <c r="G37" s="5">
        <v>0.25</v>
      </c>
      <c r="H37" s="2"/>
      <c r="I37" s="2"/>
    </row>
    <row r="38" spans="1:9" ht="20.5" x14ac:dyDescent="0.35">
      <c r="A38" s="5" t="s">
        <v>52</v>
      </c>
      <c r="E38" s="2"/>
      <c r="F38" s="2"/>
      <c r="G38" s="5">
        <f>0.25+0.125</f>
        <v>0.375</v>
      </c>
      <c r="H38" s="2"/>
      <c r="I38" s="2"/>
    </row>
    <row r="39" spans="1:9" ht="20.5" x14ac:dyDescent="0.35">
      <c r="A39" s="5" t="s">
        <v>53</v>
      </c>
      <c r="E39" s="2"/>
      <c r="F39" s="2"/>
      <c r="G39" s="5">
        <f>G38+0.125</f>
        <v>0.5</v>
      </c>
      <c r="H39" s="2"/>
      <c r="I39" s="2"/>
    </row>
    <row r="40" spans="1:9" ht="20.5" x14ac:dyDescent="0.35">
      <c r="A40" s="5" t="s">
        <v>54</v>
      </c>
      <c r="E40" s="2"/>
      <c r="F40" s="2"/>
      <c r="G40" s="5">
        <f>0.5+0.125</f>
        <v>0.625</v>
      </c>
      <c r="H40" s="2"/>
      <c r="I40" s="2"/>
    </row>
    <row r="41" spans="1:9" ht="20.5" x14ac:dyDescent="0.35">
      <c r="A41" s="5" t="s">
        <v>55</v>
      </c>
      <c r="E41" s="2"/>
      <c r="F41" s="2"/>
      <c r="G41" s="5">
        <f>G40+0.125</f>
        <v>0.75</v>
      </c>
      <c r="H41" s="2"/>
      <c r="I41" s="2"/>
    </row>
    <row r="42" spans="1:9" ht="20.5" x14ac:dyDescent="0.35">
      <c r="A42" s="5" t="s">
        <v>56</v>
      </c>
      <c r="E42" s="2"/>
      <c r="F42" s="2"/>
      <c r="G42" s="5">
        <f>G41+0.125</f>
        <v>0.875</v>
      </c>
      <c r="H42" s="2"/>
      <c r="I42" s="2"/>
    </row>
    <row r="43" spans="1:9" ht="20.5" x14ac:dyDescent="0.35">
      <c r="A43" s="5" t="s">
        <v>57</v>
      </c>
      <c r="E43" s="2"/>
      <c r="F43" s="2"/>
      <c r="G43" s="5">
        <v>1</v>
      </c>
      <c r="H43" s="2"/>
      <c r="I43" s="2"/>
    </row>
    <row r="44" spans="1:9" ht="20.5" x14ac:dyDescent="0.35">
      <c r="A44" s="5" t="s">
        <v>58</v>
      </c>
      <c r="E44" s="2"/>
      <c r="F44" s="2"/>
      <c r="G44" s="2"/>
      <c r="H44" s="5">
        <v>0.125</v>
      </c>
      <c r="I44" s="2"/>
    </row>
    <row r="45" spans="1:9" ht="20.5" x14ac:dyDescent="0.35">
      <c r="A45" s="5" t="s">
        <v>59</v>
      </c>
      <c r="E45" s="2"/>
      <c r="F45" s="2"/>
      <c r="G45" s="2"/>
      <c r="H45" s="5">
        <v>0.25</v>
      </c>
      <c r="I45" s="2"/>
    </row>
    <row r="46" spans="1:9" ht="20.5" x14ac:dyDescent="0.35">
      <c r="A46" s="5" t="s">
        <v>60</v>
      </c>
      <c r="E46" s="2"/>
      <c r="F46" s="2"/>
      <c r="G46" s="2"/>
      <c r="H46" s="5">
        <f>0.25+0.125</f>
        <v>0.375</v>
      </c>
      <c r="I46" s="2"/>
    </row>
    <row r="47" spans="1:9" ht="20.5" x14ac:dyDescent="0.35">
      <c r="A47" s="5" t="s">
        <v>61</v>
      </c>
      <c r="E47" s="2"/>
      <c r="F47" s="2"/>
      <c r="G47" s="2"/>
      <c r="H47" s="5">
        <f>H46+0.125</f>
        <v>0.5</v>
      </c>
      <c r="I47" s="2"/>
    </row>
    <row r="48" spans="1:9" ht="20.5" x14ac:dyDescent="0.35">
      <c r="A48" s="5" t="s">
        <v>62</v>
      </c>
      <c r="E48" s="2"/>
      <c r="F48" s="2"/>
      <c r="G48" s="2"/>
      <c r="H48" s="5">
        <f>H47+0.125</f>
        <v>0.625</v>
      </c>
      <c r="I48" s="2"/>
    </row>
    <row r="49" spans="1:13" ht="20.5" x14ac:dyDescent="0.35">
      <c r="A49" s="5" t="s">
        <v>63</v>
      </c>
      <c r="E49" s="2"/>
      <c r="F49" s="2"/>
      <c r="G49" s="2"/>
      <c r="H49" s="5">
        <f>H48+0.125</f>
        <v>0.75</v>
      </c>
      <c r="I49" s="2"/>
    </row>
    <row r="50" spans="1:13" ht="20.5" x14ac:dyDescent="0.35">
      <c r="A50" s="5" t="s">
        <v>64</v>
      </c>
      <c r="E50" s="2"/>
      <c r="F50" s="2"/>
      <c r="G50" s="2"/>
      <c r="H50" s="5">
        <f>H49+0.125</f>
        <v>0.875</v>
      </c>
      <c r="I50" s="2"/>
    </row>
    <row r="51" spans="1:13" ht="20.5" x14ac:dyDescent="0.35">
      <c r="A51" s="5" t="s">
        <v>65</v>
      </c>
      <c r="E51" s="2"/>
      <c r="F51" s="2"/>
      <c r="G51" s="2"/>
      <c r="H51" s="5">
        <v>1</v>
      </c>
      <c r="I51" s="2"/>
    </row>
    <row r="52" spans="1:13" ht="20.5" x14ac:dyDescent="0.35">
      <c r="A52" s="5" t="s">
        <v>66</v>
      </c>
      <c r="E52" s="2"/>
      <c r="F52" s="2"/>
      <c r="G52" s="2"/>
      <c r="H52" s="2"/>
      <c r="I52" s="5">
        <v>0</v>
      </c>
    </row>
    <row r="53" spans="1:13" ht="20.5" x14ac:dyDescent="0.35">
      <c r="A53" s="5" t="s">
        <v>67</v>
      </c>
      <c r="E53" s="2"/>
      <c r="F53" s="2"/>
      <c r="G53" s="2"/>
      <c r="H53" s="2"/>
      <c r="I53" s="5">
        <v>0.125</v>
      </c>
    </row>
    <row r="54" spans="1:13" ht="20.5" x14ac:dyDescent="0.35">
      <c r="A54" s="5" t="s">
        <v>68</v>
      </c>
      <c r="E54" s="2"/>
      <c r="F54" s="2"/>
      <c r="G54" s="2"/>
      <c r="H54" s="2"/>
      <c r="I54" s="5">
        <v>0.25</v>
      </c>
    </row>
    <row r="55" spans="1:13" ht="20.5" x14ac:dyDescent="0.35">
      <c r="A55" s="5" t="s">
        <v>69</v>
      </c>
      <c r="E55" s="2"/>
      <c r="F55" s="2"/>
      <c r="G55" s="2"/>
      <c r="H55" s="2"/>
      <c r="I55" s="5">
        <f>0.25+0.125</f>
        <v>0.375</v>
      </c>
    </row>
    <row r="56" spans="1:13" ht="20.5" x14ac:dyDescent="0.35">
      <c r="A56" s="5" t="s">
        <v>70</v>
      </c>
      <c r="E56" s="2"/>
      <c r="F56" s="2"/>
      <c r="G56" s="2"/>
      <c r="H56" s="2"/>
      <c r="I56" s="5">
        <f>I55+0.125</f>
        <v>0.5</v>
      </c>
    </row>
    <row r="57" spans="1:13" ht="20.5" x14ac:dyDescent="0.35">
      <c r="A57" s="5" t="s">
        <v>71</v>
      </c>
      <c r="E57" s="2"/>
      <c r="F57" s="2"/>
      <c r="G57" s="2"/>
      <c r="H57" s="2"/>
      <c r="I57" s="5">
        <f>I56+0.125</f>
        <v>0.625</v>
      </c>
    </row>
    <row r="58" spans="1:13" ht="20.5" x14ac:dyDescent="0.35">
      <c r="A58" s="5" t="s">
        <v>72</v>
      </c>
      <c r="E58" s="2"/>
      <c r="F58" s="2"/>
      <c r="G58" s="2"/>
      <c r="H58" s="2"/>
      <c r="I58" s="5">
        <f>I57+0.125</f>
        <v>0.75</v>
      </c>
    </row>
    <row r="59" spans="1:13" ht="20.5" x14ac:dyDescent="0.35">
      <c r="A59" s="5" t="s">
        <v>73</v>
      </c>
      <c r="E59" s="2"/>
      <c r="F59" s="2"/>
      <c r="G59" s="2"/>
      <c r="H59" s="2"/>
      <c r="I59" s="5">
        <f>I58+0.125</f>
        <v>0.875</v>
      </c>
    </row>
    <row r="60" spans="1:13" ht="20.5" x14ac:dyDescent="0.35">
      <c r="A60" s="5" t="s">
        <v>79</v>
      </c>
      <c r="E60" s="2"/>
      <c r="F60" s="2"/>
      <c r="G60" s="2"/>
      <c r="H60" s="2"/>
      <c r="I60" s="5">
        <v>1</v>
      </c>
    </row>
    <row r="61" spans="1:13" ht="20.5" x14ac:dyDescent="0.35">
      <c r="A61" s="8" t="s">
        <v>78</v>
      </c>
      <c r="E61" s="14"/>
      <c r="F61" s="13"/>
      <c r="G61" s="14"/>
      <c r="H61" s="14"/>
      <c r="I61" s="14"/>
      <c r="J61" s="8">
        <v>0</v>
      </c>
      <c r="K61" s="2"/>
      <c r="L61" s="2"/>
      <c r="M61" s="2"/>
    </row>
    <row r="62" spans="1:13" ht="20.5" x14ac:dyDescent="0.35">
      <c r="A62" s="8" t="s">
        <v>81</v>
      </c>
      <c r="F62" s="1"/>
      <c r="J62" s="8">
        <v>0.17874999999999999</v>
      </c>
      <c r="K62" s="2"/>
      <c r="L62" s="2"/>
      <c r="M62" s="2"/>
    </row>
    <row r="63" spans="1:13" ht="20.5" x14ac:dyDescent="0.35">
      <c r="A63" s="8" t="s">
        <v>82</v>
      </c>
      <c r="F63" s="1"/>
      <c r="J63" s="8">
        <f xml:space="preserve"> J62 +0.17875</f>
        <v>0.35749999999999998</v>
      </c>
      <c r="K63" s="2"/>
      <c r="L63" s="2"/>
      <c r="M63" s="2"/>
    </row>
    <row r="64" spans="1:13" ht="20.5" x14ac:dyDescent="0.35">
      <c r="A64" s="8" t="s">
        <v>83</v>
      </c>
      <c r="F64" s="1"/>
      <c r="J64" s="8">
        <f xml:space="preserve"> J63 +0.17875</f>
        <v>0.53625</v>
      </c>
      <c r="K64" s="2"/>
      <c r="L64" s="2"/>
      <c r="M64" s="2"/>
    </row>
    <row r="65" spans="1:13" ht="20.5" x14ac:dyDescent="0.35">
      <c r="A65" s="8" t="s">
        <v>84</v>
      </c>
      <c r="F65" s="1"/>
      <c r="J65" s="8">
        <f xml:space="preserve"> J64 +0.17875</f>
        <v>0.71499999999999997</v>
      </c>
      <c r="K65" s="2"/>
      <c r="L65" s="2"/>
      <c r="M65" s="2"/>
    </row>
    <row r="66" spans="1:13" ht="20.5" x14ac:dyDescent="0.35">
      <c r="A66" s="8" t="s">
        <v>85</v>
      </c>
      <c r="F66" s="1"/>
      <c r="J66" s="8">
        <f xml:space="preserve"> J65 +0.17875</f>
        <v>0.89374999999999993</v>
      </c>
      <c r="K66" s="2"/>
      <c r="L66" s="2"/>
      <c r="M66" s="2"/>
    </row>
    <row r="67" spans="1:13" ht="20.5" x14ac:dyDescent="0.35">
      <c r="A67" s="8" t="s">
        <v>86</v>
      </c>
      <c r="F67" s="1"/>
      <c r="J67" s="8">
        <f xml:space="preserve"> J66 +0.17875</f>
        <v>1.0725</v>
      </c>
      <c r="K67" s="2"/>
      <c r="L67" s="2"/>
      <c r="M67" s="2"/>
    </row>
    <row r="68" spans="1:13" ht="20.5" x14ac:dyDescent="0.35">
      <c r="A68" s="8" t="s">
        <v>87</v>
      </c>
      <c r="F68" s="1"/>
      <c r="J68" s="8">
        <f xml:space="preserve"> J67 +0.17875</f>
        <v>1.25125</v>
      </c>
      <c r="K68" s="2"/>
      <c r="L68" s="2"/>
      <c r="M68" s="2"/>
    </row>
    <row r="69" spans="1:13" ht="20.5" x14ac:dyDescent="0.35">
      <c r="A69" s="8" t="s">
        <v>88</v>
      </c>
      <c r="F69" s="1"/>
      <c r="J69" s="8">
        <f xml:space="preserve"> J68 +0.17875</f>
        <v>1.43</v>
      </c>
      <c r="K69" s="2"/>
      <c r="L69" s="2"/>
      <c r="M69" s="2"/>
    </row>
    <row r="70" spans="1:13" ht="20.5" x14ac:dyDescent="0.35">
      <c r="A70" s="8" t="s">
        <v>89</v>
      </c>
      <c r="F70" s="1"/>
      <c r="J70" s="2"/>
      <c r="K70" s="8">
        <v>5</v>
      </c>
      <c r="L70" s="2"/>
      <c r="M70" s="2"/>
    </row>
    <row r="71" spans="1:13" ht="20.5" x14ac:dyDescent="0.35">
      <c r="A71" s="8" t="s">
        <v>90</v>
      </c>
      <c r="F71" s="1"/>
      <c r="J71" s="2"/>
      <c r="K71" s="8">
        <f>K70+5</f>
        <v>10</v>
      </c>
      <c r="L71" s="2"/>
      <c r="M71" s="2"/>
    </row>
    <row r="72" spans="1:13" ht="20.5" x14ac:dyDescent="0.35">
      <c r="A72" s="8" t="s">
        <v>91</v>
      </c>
      <c r="F72" s="1"/>
      <c r="J72" s="2"/>
      <c r="K72" s="8">
        <f>K71+5</f>
        <v>15</v>
      </c>
      <c r="L72" s="2"/>
      <c r="M72" s="2"/>
    </row>
    <row r="73" spans="1:13" ht="20.5" x14ac:dyDescent="0.35">
      <c r="A73" s="8" t="s">
        <v>92</v>
      </c>
      <c r="F73" s="1"/>
      <c r="J73" s="2"/>
      <c r="K73" s="8">
        <f>K72+5</f>
        <v>20</v>
      </c>
      <c r="L73" s="2"/>
      <c r="M73" s="2"/>
    </row>
    <row r="74" spans="1:13" ht="20.5" x14ac:dyDescent="0.35">
      <c r="A74" s="8" t="s">
        <v>93</v>
      </c>
      <c r="F74" s="1"/>
      <c r="J74" s="2"/>
      <c r="K74" s="8">
        <f>K73+5</f>
        <v>25</v>
      </c>
      <c r="L74" s="2"/>
      <c r="M74" s="2"/>
    </row>
    <row r="75" spans="1:13" ht="20.5" x14ac:dyDescent="0.35">
      <c r="A75" s="8" t="s">
        <v>94</v>
      </c>
      <c r="F75" s="1"/>
      <c r="J75" s="2"/>
      <c r="K75" s="8">
        <f>K74+5</f>
        <v>30</v>
      </c>
      <c r="L75" s="2"/>
      <c r="M75" s="2"/>
    </row>
    <row r="76" spans="1:13" ht="20.5" x14ac:dyDescent="0.35">
      <c r="A76" s="8" t="s">
        <v>95</v>
      </c>
      <c r="F76" s="1"/>
      <c r="J76" s="2"/>
      <c r="K76" s="8">
        <f>K75+5</f>
        <v>35</v>
      </c>
      <c r="L76" s="2"/>
      <c r="M76" s="2"/>
    </row>
    <row r="77" spans="1:13" ht="20.5" x14ac:dyDescent="0.35">
      <c r="A77" s="8" t="s">
        <v>96</v>
      </c>
      <c r="F77" s="1"/>
      <c r="J77" s="2"/>
      <c r="K77" s="8">
        <f>K76+5</f>
        <v>40</v>
      </c>
      <c r="L77" s="2"/>
      <c r="M77" s="2"/>
    </row>
    <row r="78" spans="1:13" ht="20.5" x14ac:dyDescent="0.35">
      <c r="A78" s="8" t="s">
        <v>97</v>
      </c>
      <c r="F78" s="1"/>
      <c r="J78" s="2"/>
      <c r="K78" s="8">
        <f>K77+5</f>
        <v>45</v>
      </c>
      <c r="L78" s="2"/>
      <c r="M78" s="2"/>
    </row>
    <row r="79" spans="1:13" ht="20.5" x14ac:dyDescent="0.35">
      <c r="A79" s="8" t="s">
        <v>98</v>
      </c>
      <c r="F79" s="1"/>
      <c r="J79" s="2"/>
      <c r="K79" s="8">
        <f>K78+5</f>
        <v>50</v>
      </c>
      <c r="L79" s="2"/>
      <c r="M79" s="2"/>
    </row>
    <row r="80" spans="1:13" ht="20.5" x14ac:dyDescent="0.35">
      <c r="A80" s="8" t="s">
        <v>99</v>
      </c>
      <c r="F80" s="1"/>
      <c r="J80" s="2"/>
      <c r="K80" s="2"/>
      <c r="L80" s="8" t="b">
        <v>0</v>
      </c>
      <c r="M80" s="2"/>
    </row>
    <row r="81" spans="1:15" ht="20.5" x14ac:dyDescent="0.35">
      <c r="A81" s="8" t="s">
        <v>100</v>
      </c>
      <c r="F81" s="1"/>
      <c r="J81" s="2"/>
      <c r="K81" s="2"/>
      <c r="L81" s="2"/>
      <c r="M81" s="8">
        <v>1</v>
      </c>
    </row>
    <row r="82" spans="1:15" ht="20.5" x14ac:dyDescent="0.35">
      <c r="A82" s="8" t="s">
        <v>101</v>
      </c>
      <c r="F82" s="1"/>
      <c r="J82" s="2"/>
      <c r="K82" s="2"/>
      <c r="L82" s="2"/>
      <c r="M82" s="8">
        <v>3</v>
      </c>
    </row>
    <row r="83" spans="1:15" ht="20.5" x14ac:dyDescent="0.35">
      <c r="A83" s="8" t="s">
        <v>102</v>
      </c>
      <c r="F83" s="1"/>
      <c r="J83" s="2"/>
      <c r="K83" s="2"/>
      <c r="L83" s="2"/>
      <c r="M83" s="8" t="s">
        <v>80</v>
      </c>
    </row>
    <row r="84" spans="1:15" ht="20.5" x14ac:dyDescent="0.35">
      <c r="A84" s="4" t="s">
        <v>105</v>
      </c>
      <c r="D84" s="4" t="s">
        <v>13</v>
      </c>
      <c r="E84" s="1"/>
      <c r="F84" s="1"/>
      <c r="J84" s="14"/>
      <c r="K84" s="14"/>
      <c r="L84" s="14"/>
      <c r="M84" s="14"/>
      <c r="N84" s="4">
        <v>1</v>
      </c>
      <c r="O84" s="2"/>
    </row>
    <row r="85" spans="1:15" ht="20.5" x14ac:dyDescent="0.35">
      <c r="A85" s="4" t="s">
        <v>106</v>
      </c>
      <c r="D85" s="10" t="s">
        <v>13</v>
      </c>
      <c r="E85" s="1"/>
      <c r="F85" s="1"/>
      <c r="N85" s="4">
        <v>8</v>
      </c>
      <c r="O85" s="2"/>
    </row>
    <row r="86" spans="1:15" ht="20.5" x14ac:dyDescent="0.35">
      <c r="A86" s="4" t="s">
        <v>107</v>
      </c>
      <c r="D86" s="10" t="s">
        <v>13</v>
      </c>
      <c r="E86" s="1"/>
      <c r="F86" s="1"/>
      <c r="N86" s="4">
        <v>16</v>
      </c>
      <c r="O86" s="2"/>
    </row>
    <row r="87" spans="1:15" ht="20.5" x14ac:dyDescent="0.35">
      <c r="A87" s="4" t="s">
        <v>108</v>
      </c>
      <c r="D87" s="10" t="s">
        <v>13</v>
      </c>
      <c r="E87" s="1"/>
      <c r="F87" s="1"/>
      <c r="N87" s="4">
        <v>24</v>
      </c>
      <c r="O87" s="2"/>
    </row>
    <row r="88" spans="1:15" ht="20.5" x14ac:dyDescent="0.35">
      <c r="A88" s="4" t="s">
        <v>109</v>
      </c>
      <c r="D88" s="10" t="s">
        <v>13</v>
      </c>
      <c r="E88" s="1"/>
      <c r="F88" s="1"/>
      <c r="N88" s="4">
        <v>40</v>
      </c>
      <c r="O88" s="2"/>
    </row>
    <row r="89" spans="1:15" ht="20.5" x14ac:dyDescent="0.35">
      <c r="A89" s="4" t="s">
        <v>110</v>
      </c>
      <c r="D89" s="10" t="s">
        <v>13</v>
      </c>
      <c r="E89" s="1"/>
      <c r="F89" s="1"/>
      <c r="N89" s="4">
        <v>48</v>
      </c>
      <c r="O89" s="2"/>
    </row>
    <row r="90" spans="1:15" ht="20.5" x14ac:dyDescent="0.35">
      <c r="A90" s="4" t="s">
        <v>111</v>
      </c>
      <c r="D90" s="10" t="s">
        <v>13</v>
      </c>
      <c r="E90" s="1"/>
      <c r="F90" s="1"/>
      <c r="N90" s="4">
        <v>56</v>
      </c>
      <c r="O90" s="2"/>
    </row>
    <row r="91" spans="1:15" ht="20.5" x14ac:dyDescent="0.35">
      <c r="A91" s="4" t="s">
        <v>112</v>
      </c>
      <c r="D91" s="10" t="s">
        <v>13</v>
      </c>
      <c r="E91" s="1"/>
      <c r="F91" s="1"/>
      <c r="N91" s="4">
        <v>64</v>
      </c>
      <c r="O91" s="2"/>
    </row>
    <row r="92" spans="1:15" ht="20.5" x14ac:dyDescent="0.35">
      <c r="A92" s="4" t="s">
        <v>113</v>
      </c>
      <c r="D92" s="10" t="s">
        <v>13</v>
      </c>
      <c r="E92" s="1"/>
      <c r="F92" s="1"/>
      <c r="N92" s="2"/>
      <c r="O92" s="4">
        <v>1</v>
      </c>
    </row>
    <row r="93" spans="1:15" ht="20.5" x14ac:dyDescent="0.35">
      <c r="A93" s="4" t="s">
        <v>114</v>
      </c>
      <c r="D93" s="10" t="s">
        <v>13</v>
      </c>
      <c r="E93" s="1"/>
      <c r="F93" s="1"/>
      <c r="N93" s="2"/>
      <c r="O93" s="4">
        <v>8</v>
      </c>
    </row>
    <row r="94" spans="1:15" ht="20.5" x14ac:dyDescent="0.35">
      <c r="A94" s="4" t="s">
        <v>115</v>
      </c>
      <c r="D94" s="10" t="s">
        <v>13</v>
      </c>
      <c r="E94" s="1"/>
      <c r="F94" s="1"/>
      <c r="N94" s="2"/>
      <c r="O94" s="4">
        <v>16</v>
      </c>
    </row>
    <row r="95" spans="1:15" ht="20.5" x14ac:dyDescent="0.35">
      <c r="A95" s="4" t="s">
        <v>116</v>
      </c>
      <c r="D95" s="10" t="s">
        <v>13</v>
      </c>
      <c r="E95" s="1"/>
      <c r="F95" s="1"/>
      <c r="N95" s="2"/>
      <c r="O95" s="4">
        <v>24</v>
      </c>
    </row>
    <row r="96" spans="1:15" ht="20.5" x14ac:dyDescent="0.35">
      <c r="A96" s="4" t="s">
        <v>117</v>
      </c>
      <c r="D96" s="10" t="s">
        <v>13</v>
      </c>
      <c r="E96" s="1"/>
      <c r="F96" s="1"/>
      <c r="N96" s="2"/>
      <c r="O96" s="4">
        <v>40</v>
      </c>
    </row>
    <row r="97" spans="1:15" ht="20.5" x14ac:dyDescent="0.35">
      <c r="A97" s="4" t="s">
        <v>118</v>
      </c>
      <c r="D97" s="10" t="s">
        <v>13</v>
      </c>
      <c r="E97" s="1"/>
      <c r="F97" s="1"/>
      <c r="N97" s="2"/>
      <c r="O97" s="4">
        <v>48</v>
      </c>
    </row>
    <row r="98" spans="1:15" ht="20.5" x14ac:dyDescent="0.35">
      <c r="A98" s="4" t="s">
        <v>119</v>
      </c>
      <c r="D98" s="10" t="s">
        <v>13</v>
      </c>
      <c r="E98" s="1"/>
      <c r="F98" s="1"/>
      <c r="N98" s="2"/>
      <c r="O98" s="4">
        <v>56</v>
      </c>
    </row>
    <row r="99" spans="1:15" ht="20.5" x14ac:dyDescent="0.35">
      <c r="A99" s="4" t="s">
        <v>120</v>
      </c>
      <c r="D99" s="10" t="s">
        <v>13</v>
      </c>
      <c r="E99" s="1"/>
      <c r="F99" s="1"/>
      <c r="N99" s="2"/>
      <c r="O99" s="4">
        <v>64</v>
      </c>
    </row>
    <row r="100" spans="1:15" ht="20.5" x14ac:dyDescent="0.35">
      <c r="A100" s="4" t="s">
        <v>121</v>
      </c>
      <c r="D100" s="4" t="s">
        <v>15</v>
      </c>
      <c r="E100" s="1"/>
      <c r="F100" s="1"/>
      <c r="N100" s="4">
        <v>1</v>
      </c>
      <c r="O100" s="2"/>
    </row>
    <row r="101" spans="1:15" ht="20.5" x14ac:dyDescent="0.35">
      <c r="A101" s="4" t="s">
        <v>122</v>
      </c>
      <c r="D101" s="10" t="s">
        <v>15</v>
      </c>
      <c r="E101" s="1"/>
      <c r="F101" s="1"/>
      <c r="N101" s="4">
        <v>8</v>
      </c>
      <c r="O101" s="2"/>
    </row>
    <row r="102" spans="1:15" ht="20.5" x14ac:dyDescent="0.35">
      <c r="A102" s="4" t="s">
        <v>123</v>
      </c>
      <c r="D102" s="10" t="s">
        <v>15</v>
      </c>
      <c r="E102" s="1"/>
      <c r="F102" s="1"/>
      <c r="N102" s="4">
        <v>16</v>
      </c>
      <c r="O102" s="2"/>
    </row>
    <row r="103" spans="1:15" ht="20.5" x14ac:dyDescent="0.35">
      <c r="A103" s="4" t="s">
        <v>124</v>
      </c>
      <c r="D103" s="10" t="s">
        <v>15</v>
      </c>
      <c r="E103" s="1"/>
      <c r="F103" s="1"/>
      <c r="N103" s="4">
        <v>24</v>
      </c>
      <c r="O103" s="2"/>
    </row>
    <row r="104" spans="1:15" ht="20.5" x14ac:dyDescent="0.35">
      <c r="A104" s="4" t="s">
        <v>125</v>
      </c>
      <c r="D104" s="10" t="s">
        <v>15</v>
      </c>
      <c r="E104" s="1"/>
      <c r="F104" s="1"/>
      <c r="N104" s="4">
        <v>40</v>
      </c>
      <c r="O104" s="2"/>
    </row>
    <row r="105" spans="1:15" ht="20.5" x14ac:dyDescent="0.35">
      <c r="A105" s="4" t="s">
        <v>126</v>
      </c>
      <c r="D105" s="10" t="s">
        <v>15</v>
      </c>
      <c r="E105" s="1"/>
      <c r="F105" s="1"/>
      <c r="N105" s="4">
        <v>48</v>
      </c>
      <c r="O105" s="2"/>
    </row>
    <row r="106" spans="1:15" ht="20.5" x14ac:dyDescent="0.35">
      <c r="A106" s="4" t="s">
        <v>127</v>
      </c>
      <c r="D106" s="10" t="s">
        <v>15</v>
      </c>
      <c r="E106" s="1"/>
      <c r="F106" s="1"/>
      <c r="N106" s="4">
        <v>56</v>
      </c>
      <c r="O106" s="2"/>
    </row>
    <row r="107" spans="1:15" ht="20.5" x14ac:dyDescent="0.35">
      <c r="A107" s="4" t="s">
        <v>128</v>
      </c>
      <c r="D107" s="10" t="s">
        <v>15</v>
      </c>
      <c r="E107" s="1"/>
      <c r="F107" s="1"/>
      <c r="N107" s="4">
        <v>64</v>
      </c>
      <c r="O107" s="2"/>
    </row>
    <row r="108" spans="1:15" ht="20.5" x14ac:dyDescent="0.35">
      <c r="A108" s="4" t="s">
        <v>129</v>
      </c>
      <c r="D108" s="10" t="s">
        <v>15</v>
      </c>
      <c r="E108" s="1"/>
      <c r="F108" s="1"/>
      <c r="N108" s="2"/>
      <c r="O108" s="4">
        <v>1</v>
      </c>
    </row>
    <row r="109" spans="1:15" ht="20.5" x14ac:dyDescent="0.35">
      <c r="A109" s="4" t="s">
        <v>130</v>
      </c>
      <c r="D109" s="10" t="s">
        <v>15</v>
      </c>
      <c r="E109" s="1"/>
      <c r="F109" s="1"/>
      <c r="N109" s="2"/>
      <c r="O109" s="4">
        <v>8</v>
      </c>
    </row>
    <row r="110" spans="1:15" ht="20.5" x14ac:dyDescent="0.35">
      <c r="A110" s="4" t="s">
        <v>131</v>
      </c>
      <c r="D110" s="10" t="s">
        <v>15</v>
      </c>
      <c r="E110" s="1"/>
      <c r="F110" s="1"/>
      <c r="N110" s="2"/>
      <c r="O110" s="4">
        <v>16</v>
      </c>
    </row>
    <row r="111" spans="1:15" ht="20.5" x14ac:dyDescent="0.35">
      <c r="A111" s="4" t="s">
        <v>132</v>
      </c>
      <c r="D111" s="10" t="s">
        <v>15</v>
      </c>
      <c r="E111" s="1"/>
      <c r="F111" s="1"/>
      <c r="N111" s="2"/>
      <c r="O111" s="4">
        <v>24</v>
      </c>
    </row>
    <row r="112" spans="1:15" ht="20.5" x14ac:dyDescent="0.35">
      <c r="A112" s="4" t="s">
        <v>133</v>
      </c>
      <c r="D112" s="10" t="s">
        <v>15</v>
      </c>
      <c r="E112" s="1"/>
      <c r="F112" s="1"/>
      <c r="N112" s="2"/>
      <c r="O112" s="4">
        <v>40</v>
      </c>
    </row>
    <row r="113" spans="1:15" ht="20.5" x14ac:dyDescent="0.35">
      <c r="A113" s="4" t="s">
        <v>134</v>
      </c>
      <c r="D113" s="10" t="s">
        <v>15</v>
      </c>
      <c r="E113" s="1"/>
      <c r="F113" s="1"/>
      <c r="N113" s="2"/>
      <c r="O113" s="4">
        <v>48</v>
      </c>
    </row>
    <row r="114" spans="1:15" ht="20.5" x14ac:dyDescent="0.35">
      <c r="A114" s="4" t="s">
        <v>135</v>
      </c>
      <c r="D114" s="10" t="s">
        <v>15</v>
      </c>
      <c r="E114" s="1"/>
      <c r="F114" s="1"/>
      <c r="N114" s="2"/>
      <c r="O114" s="4">
        <v>56</v>
      </c>
    </row>
    <row r="115" spans="1:15" ht="20.5" x14ac:dyDescent="0.35">
      <c r="A115" s="4" t="s">
        <v>136</v>
      </c>
      <c r="D115" s="10" t="s">
        <v>15</v>
      </c>
      <c r="E115" s="1"/>
      <c r="F115" s="1"/>
      <c r="N115" s="2"/>
      <c r="O115" s="4">
        <v>64</v>
      </c>
    </row>
    <row r="116" spans="1:15" ht="20.5" x14ac:dyDescent="0.35">
      <c r="A116" s="4" t="s">
        <v>137</v>
      </c>
      <c r="D116" s="4" t="s">
        <v>14</v>
      </c>
      <c r="E116" s="1"/>
      <c r="F116" s="1"/>
      <c r="N116" s="4">
        <v>1</v>
      </c>
      <c r="O116" s="2"/>
    </row>
    <row r="117" spans="1:15" ht="20.5" x14ac:dyDescent="0.35">
      <c r="A117" s="4" t="s">
        <v>138</v>
      </c>
      <c r="D117" s="10" t="s">
        <v>14</v>
      </c>
      <c r="E117" s="1"/>
      <c r="F117" s="1"/>
      <c r="N117" s="4">
        <v>8</v>
      </c>
      <c r="O117" s="2"/>
    </row>
    <row r="118" spans="1:15" ht="20.5" x14ac:dyDescent="0.35">
      <c r="A118" s="4" t="s">
        <v>139</v>
      </c>
      <c r="D118" s="10" t="s">
        <v>14</v>
      </c>
      <c r="E118" s="1"/>
      <c r="F118" s="1"/>
      <c r="N118" s="4">
        <v>16</v>
      </c>
      <c r="O118" s="2"/>
    </row>
    <row r="119" spans="1:15" ht="20.5" x14ac:dyDescent="0.35">
      <c r="A119" s="4" t="s">
        <v>140</v>
      </c>
      <c r="D119" s="10" t="s">
        <v>14</v>
      </c>
      <c r="E119" s="1"/>
      <c r="F119" s="1"/>
      <c r="N119" s="4">
        <v>24</v>
      </c>
      <c r="O119" s="2"/>
    </row>
    <row r="120" spans="1:15" ht="20.5" x14ac:dyDescent="0.35">
      <c r="A120" s="4" t="s">
        <v>141</v>
      </c>
      <c r="D120" s="10" t="s">
        <v>14</v>
      </c>
      <c r="E120" s="1"/>
      <c r="F120" s="1"/>
      <c r="N120" s="4">
        <v>40</v>
      </c>
      <c r="O120" s="2"/>
    </row>
    <row r="121" spans="1:15" ht="20.5" x14ac:dyDescent="0.35">
      <c r="A121" s="4" t="s">
        <v>142</v>
      </c>
      <c r="D121" s="10" t="s">
        <v>14</v>
      </c>
      <c r="E121" s="1"/>
      <c r="F121" s="1"/>
      <c r="N121" s="4">
        <v>48</v>
      </c>
      <c r="O121" s="2"/>
    </row>
    <row r="122" spans="1:15" ht="20.5" x14ac:dyDescent="0.35">
      <c r="A122" s="4" t="s">
        <v>143</v>
      </c>
      <c r="D122" s="10" t="s">
        <v>14</v>
      </c>
      <c r="E122" s="1"/>
      <c r="F122" s="1"/>
      <c r="N122" s="4">
        <v>56</v>
      </c>
      <c r="O122" s="2"/>
    </row>
    <row r="123" spans="1:15" ht="20.5" x14ac:dyDescent="0.35">
      <c r="A123" s="4" t="s">
        <v>144</v>
      </c>
      <c r="D123" s="10" t="s">
        <v>14</v>
      </c>
      <c r="E123" s="1"/>
      <c r="F123" s="1"/>
      <c r="N123" s="4">
        <v>64</v>
      </c>
      <c r="O123" s="2"/>
    </row>
    <row r="124" spans="1:15" ht="20.5" x14ac:dyDescent="0.35">
      <c r="A124" s="4" t="s">
        <v>145</v>
      </c>
      <c r="D124" s="10" t="s">
        <v>14</v>
      </c>
      <c r="E124" s="1"/>
      <c r="F124" s="1"/>
      <c r="N124" s="2"/>
      <c r="O124" s="4">
        <v>1</v>
      </c>
    </row>
    <row r="125" spans="1:15" ht="20.5" x14ac:dyDescent="0.35">
      <c r="A125" s="4" t="s">
        <v>146</v>
      </c>
      <c r="D125" s="10" t="s">
        <v>14</v>
      </c>
      <c r="E125" s="1"/>
      <c r="F125" s="1"/>
      <c r="N125" s="2"/>
      <c r="O125" s="4">
        <v>8</v>
      </c>
    </row>
    <row r="126" spans="1:15" ht="20.5" x14ac:dyDescent="0.35">
      <c r="A126" s="4" t="s">
        <v>147</v>
      </c>
      <c r="D126" s="10" t="s">
        <v>14</v>
      </c>
      <c r="E126" s="1"/>
      <c r="F126" s="1"/>
      <c r="N126" s="2"/>
      <c r="O126" s="4">
        <v>16</v>
      </c>
    </row>
    <row r="127" spans="1:15" ht="20.5" x14ac:dyDescent="0.35">
      <c r="A127" s="4" t="s">
        <v>148</v>
      </c>
      <c r="D127" s="10" t="s">
        <v>14</v>
      </c>
      <c r="E127" s="1"/>
      <c r="F127" s="1"/>
      <c r="N127" s="2"/>
      <c r="O127" s="4">
        <v>24</v>
      </c>
    </row>
    <row r="128" spans="1:15" ht="20.5" x14ac:dyDescent="0.35">
      <c r="A128" s="4" t="s">
        <v>149</v>
      </c>
      <c r="D128" s="10" t="s">
        <v>14</v>
      </c>
      <c r="E128" s="1"/>
      <c r="F128" s="1"/>
      <c r="N128" s="2"/>
      <c r="O128" s="4">
        <v>40</v>
      </c>
    </row>
    <row r="129" spans="1:15" ht="20.5" x14ac:dyDescent="0.35">
      <c r="A129" s="4" t="s">
        <v>150</v>
      </c>
      <c r="D129" s="10" t="s">
        <v>14</v>
      </c>
      <c r="E129" s="1"/>
      <c r="F129" s="1"/>
      <c r="N129" s="2"/>
      <c r="O129" s="4">
        <v>48</v>
      </c>
    </row>
    <row r="130" spans="1:15" ht="20.5" x14ac:dyDescent="0.35">
      <c r="A130" s="4" t="s">
        <v>151</v>
      </c>
      <c r="D130" s="10" t="s">
        <v>14</v>
      </c>
      <c r="E130" s="1"/>
      <c r="F130" s="1"/>
      <c r="N130" s="2"/>
      <c r="O130" s="4">
        <v>56</v>
      </c>
    </row>
    <row r="131" spans="1:15" ht="20.5" x14ac:dyDescent="0.35">
      <c r="A131" s="4" t="s">
        <v>152</v>
      </c>
      <c r="D131" s="10" t="s">
        <v>14</v>
      </c>
      <c r="E131" s="1"/>
      <c r="F131" s="1"/>
      <c r="N131" s="2"/>
      <c r="O131" s="4">
        <v>64</v>
      </c>
    </row>
    <row r="132" spans="1:15" ht="20.5" x14ac:dyDescent="0.35">
      <c r="A132" s="1"/>
      <c r="B132" s="1"/>
      <c r="C132" s="1"/>
      <c r="D132" s="1"/>
      <c r="E132" s="1"/>
      <c r="F132" s="1"/>
    </row>
    <row r="133" spans="1:15" ht="20.5" x14ac:dyDescent="0.35">
      <c r="A133" s="1"/>
      <c r="B133" s="1"/>
      <c r="C133" s="1"/>
      <c r="D133" s="1"/>
      <c r="E133" s="1"/>
      <c r="F133" s="1"/>
    </row>
    <row r="134" spans="1:15" ht="20.5" x14ac:dyDescent="0.35">
      <c r="A134" s="1"/>
      <c r="B134" s="1"/>
      <c r="C134" s="1"/>
      <c r="D134" s="1"/>
      <c r="E134" s="1"/>
      <c r="F134" s="1"/>
    </row>
    <row r="135" spans="1:15" ht="20.5" x14ac:dyDescent="0.35">
      <c r="A135" s="1"/>
      <c r="B135" s="1"/>
      <c r="C135" s="1"/>
      <c r="D135" s="1"/>
      <c r="E135" s="1"/>
      <c r="F135" s="1"/>
    </row>
    <row r="136" spans="1:15" ht="20.5" x14ac:dyDescent="0.35">
      <c r="A136" s="1"/>
      <c r="B136" s="1"/>
      <c r="C136" s="1"/>
      <c r="D136" s="1"/>
      <c r="E136" s="1"/>
      <c r="F136" s="1"/>
    </row>
    <row r="137" spans="1:15" ht="20.5" x14ac:dyDescent="0.35">
      <c r="A137" s="1"/>
      <c r="B137" s="1"/>
      <c r="C137" s="1"/>
      <c r="D137" s="1"/>
      <c r="E137" s="1"/>
      <c r="F137" s="1"/>
    </row>
    <row r="138" spans="1:15" ht="20.5" x14ac:dyDescent="0.35">
      <c r="A138" s="1"/>
      <c r="B138" s="1"/>
      <c r="C138" s="1"/>
      <c r="D138" s="1"/>
      <c r="E138" s="1"/>
      <c r="F138" s="1"/>
    </row>
    <row r="139" spans="1:15" ht="20.5" x14ac:dyDescent="0.35">
      <c r="A139" s="1"/>
      <c r="B139" s="1"/>
      <c r="C139" s="1"/>
      <c r="D139" s="1"/>
      <c r="E139" s="1"/>
      <c r="F139" s="1"/>
    </row>
    <row r="140" spans="1:15" ht="20.5" x14ac:dyDescent="0.35">
      <c r="A140" s="1"/>
      <c r="B140" s="1"/>
      <c r="C140" s="1"/>
      <c r="D140" s="1"/>
      <c r="E140" s="1"/>
      <c r="F140" s="1"/>
    </row>
    <row r="141" spans="1:15" ht="20.5" x14ac:dyDescent="0.35">
      <c r="A141" s="1"/>
      <c r="B141" s="1"/>
      <c r="C141" s="1"/>
      <c r="D141" s="1"/>
      <c r="E141" s="1"/>
      <c r="F141" s="1"/>
    </row>
    <row r="142" spans="1:15" ht="20.5" x14ac:dyDescent="0.35">
      <c r="A142" s="1"/>
      <c r="B142" s="1"/>
      <c r="C142" s="1"/>
      <c r="D142" s="1"/>
      <c r="E142" s="1"/>
      <c r="F142" s="1"/>
    </row>
    <row r="143" spans="1:15" ht="20.5" x14ac:dyDescent="0.35">
      <c r="A143" s="1"/>
      <c r="B143" s="1"/>
      <c r="C143" s="1"/>
      <c r="D143" s="1"/>
      <c r="E143" s="1"/>
      <c r="F143" s="1"/>
    </row>
    <row r="144" spans="1:15" ht="20.5" x14ac:dyDescent="0.35">
      <c r="A144" s="1"/>
      <c r="B144" s="1"/>
      <c r="C144" s="1"/>
      <c r="D144" s="1"/>
      <c r="E144" s="1"/>
      <c r="F144" s="1"/>
    </row>
    <row r="145" spans="1:6" ht="20.5" x14ac:dyDescent="0.35">
      <c r="A145" s="1"/>
      <c r="B145" s="1"/>
      <c r="C145" s="1"/>
      <c r="D145" s="1"/>
      <c r="E145" s="1"/>
      <c r="F145" s="1"/>
    </row>
    <row r="146" spans="1:6" ht="20.5" x14ac:dyDescent="0.35">
      <c r="A146" s="1"/>
      <c r="B146" s="1"/>
      <c r="C146" s="1"/>
      <c r="D146" s="1"/>
      <c r="E146" s="1"/>
      <c r="F146" s="1"/>
    </row>
    <row r="147" spans="1:6" ht="20.5" x14ac:dyDescent="0.35">
      <c r="A147" s="1"/>
      <c r="B147" s="1"/>
      <c r="C147" s="1"/>
      <c r="D147" s="1"/>
      <c r="E147" s="1"/>
      <c r="F147" s="1"/>
    </row>
    <row r="148" spans="1:6" ht="20.5" x14ac:dyDescent="0.35">
      <c r="A148" s="1"/>
      <c r="B148" s="1"/>
      <c r="C148" s="1"/>
      <c r="D148" s="1"/>
      <c r="E148" s="1"/>
      <c r="F148" s="1"/>
    </row>
    <row r="149" spans="1:6" ht="20.5" x14ac:dyDescent="0.35">
      <c r="A149" s="1"/>
      <c r="B149" s="1"/>
      <c r="C149" s="1"/>
      <c r="D149" s="1"/>
      <c r="E149" s="1"/>
      <c r="F149" s="1"/>
    </row>
  </sheetData>
  <sortState xmlns:xlrd2="http://schemas.microsoft.com/office/spreadsheetml/2017/richdata2" ref="A3:O131">
    <sortCondition ref="A4:A131"/>
  </sortState>
  <phoneticPr fontId="1" type="noConversion"/>
  <conditionalFormatting sqref="E1:I1">
    <cfRule type="colorScale" priority="3">
      <colorScale>
        <cfvo type="min"/>
        <cfvo type="max"/>
        <color rgb="FF63BE7B"/>
        <color rgb="FFFFEF9C"/>
      </colorScale>
    </cfRule>
  </conditionalFormatting>
  <conditionalFormatting sqref="J1:M1">
    <cfRule type="colorScale" priority="1">
      <colorScale>
        <cfvo type="min"/>
        <cfvo type="max"/>
        <color rgb="FF63BE7B"/>
        <color rgb="FFFFEF9C"/>
      </colorScale>
    </cfRule>
  </conditionalFormatting>
  <conditionalFormatting sqref="J1:M1">
    <cfRule type="colorScale" priority="2">
      <colorScale>
        <cfvo type="min"/>
        <cfvo type="max"/>
        <color rgb="FF63BE7B"/>
        <color rgb="FFFFEF9C"/>
      </colorScale>
    </cfRule>
  </conditionalFormatting>
  <conditionalFormatting sqref="N1:O1">
    <cfRule type="colorScale" priority="27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SAMBHAV KAPOOR</dc:creator>
  <cp:lastModifiedBy>SAMBHAV KAPOOR</cp:lastModifiedBy>
  <dcterms:created xsi:type="dcterms:W3CDTF">2025-12-24T12:24:47Z</dcterms:created>
  <dcterms:modified xsi:type="dcterms:W3CDTF">2025-12-25T13:54:58Z</dcterms:modified>
</cp:coreProperties>
</file>